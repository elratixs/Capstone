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uri\Music\Fase 2\Evidencias Proyecto\Evidencias de documentacion\Documentos de Gestion\"/>
    </mc:Choice>
  </mc:AlternateContent>
  <xr:revisionPtr revIDLastSave="0" documentId="13_ncr:1_{7B10D342-8288-4F7B-85C3-663540B3D4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ados de Avance" sheetId="1" r:id="rId1"/>
    <sheet name="Resumen" sheetId="2" r:id="rId2"/>
    <sheet name="Criterios" sheetId="3" r:id="rId3"/>
  </sheets>
  <definedNames>
    <definedName name="_xlnm._FilterDatabase" localSheetId="0" hidden="1">'Estados de Avance'!$A$1:$G$10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</calcChain>
</file>

<file path=xl/sharedStrings.xml><?xml version="1.0" encoding="utf-8"?>
<sst xmlns="http://schemas.openxmlformats.org/spreadsheetml/2006/main" count="79" uniqueCount="69">
  <si>
    <t>Semanas</t>
  </si>
  <si>
    <t>Objetivo principal</t>
  </si>
  <si>
    <t>Historias de Usuario</t>
  </si>
  <si>
    <t>Estado</t>
  </si>
  <si>
    <t>% Avance</t>
  </si>
  <si>
    <t>Observaciones</t>
  </si>
  <si>
    <t>1-2</t>
  </si>
  <si>
    <t>Configuración base, arquitectura y estructura inicial</t>
  </si>
  <si>
    <t>Preparación del proyecto</t>
  </si>
  <si>
    <t>Completado</t>
  </si>
  <si>
    <t>3-4</t>
  </si>
  <si>
    <t>Carga y validación de exámenes</t>
  </si>
  <si>
    <t>HU01, HU02</t>
  </si>
  <si>
    <t>En progreso</t>
  </si>
  <si>
    <t>5-6</t>
  </si>
  <si>
    <t>Asociación de exámenes con pacientes</t>
  </si>
  <si>
    <t>HU08</t>
  </si>
  <si>
    <t>Pendiente</t>
  </si>
  <si>
    <t>7-8</t>
  </si>
  <si>
    <t>Consulta de exámenes</t>
  </si>
  <si>
    <t>HU03</t>
  </si>
  <si>
    <t>9-10</t>
  </si>
  <si>
    <t>Descarga de exámenes autorizados</t>
  </si>
  <si>
    <t>HU04</t>
  </si>
  <si>
    <t>11-12</t>
  </si>
  <si>
    <t>Borrado lógico</t>
  </si>
  <si>
    <t>HU05</t>
  </si>
  <si>
    <t>13-14</t>
  </si>
  <si>
    <t>Seguridad y multitenancy</t>
  </si>
  <si>
    <t>HU06</t>
  </si>
  <si>
    <t>15-16</t>
  </si>
  <si>
    <t>Auditoría e integración</t>
  </si>
  <si>
    <t>HU07</t>
  </si>
  <si>
    <t>17-18</t>
  </si>
  <si>
    <t>Pruebas finales, correcciones y cierre</t>
  </si>
  <si>
    <t>HU09</t>
  </si>
  <si>
    <t>ESTADOS DE AVANCE - PROYECTO WELLQ</t>
  </si>
  <si>
    <t>Indicador</t>
  </si>
  <si>
    <t>Valor</t>
  </si>
  <si>
    <t>Avance general planificado</t>
  </si>
  <si>
    <t>Sprints completados</t>
  </si>
  <si>
    <t>Sprints en progreso</t>
  </si>
  <si>
    <t>Sprints pendientes</t>
  </si>
  <si>
    <t>Rango de avance</t>
  </si>
  <si>
    <t>Descripción</t>
  </si>
  <si>
    <t>0% - 49%</t>
  </si>
  <si>
    <t>Trabajo todavía no iniciado o con avance inicial.</t>
  </si>
  <si>
    <t>50% - 99%</t>
  </si>
  <si>
    <t>Incremento</t>
  </si>
  <si>
    <t>Incremento 1</t>
  </si>
  <si>
    <t>Incremento 2</t>
  </si>
  <si>
    <t>Incremento 3</t>
  </si>
  <si>
    <t>Incremento 4</t>
  </si>
  <si>
    <t>Incremento 5</t>
  </si>
  <si>
    <t>Incremento 6</t>
  </si>
  <si>
    <t>Incremento 7</t>
  </si>
  <si>
    <t>Incremento 8</t>
  </si>
  <si>
    <t>Incremento 9</t>
  </si>
  <si>
    <t>Incremento finalizado, dejando preparada la estructura base del proyecto para continuar con el desarrollo de las funcionalidades.</t>
  </si>
  <si>
    <t>Pendiente de iniciar. Se implementará el registro de operaciones relevantes y se reforzará la integración entre los distintos componentes de la solución.</t>
  </si>
  <si>
    <t>Pendiente de iniciar. Este incremento estará destinado a las pruebas finales, correcciones, validación general y preparación del cierre del proyecto.</t>
  </si>
  <si>
    <t>Trabajo terminado y validado de acuerdo con el alcance definido para el incremento.</t>
  </si>
  <si>
    <t>Trabajo en desarrollo, con funcionalidades parcialmente implementadas y/o en proceso de validación.</t>
  </si>
  <si>
    <t>Incremento finalizado. Se implementó y validó la asociación de los exámenes médicos con los pacientes correspondientes.</t>
  </si>
  <si>
    <t>Incremento finalizado. Se implementó y validó la consulta y visualización de los exámenes registrados.</t>
  </si>
  <si>
    <t>Incremento finalizado. Se implementó y validó la descarga de exámenes autorizados, respetando los controles de acceso correspondientes.</t>
  </si>
  <si>
    <t>Incremento finalizado. Se implementó y validó el borrado lógico de exámenes, manteniendo la trazabilidad de los registros.</t>
  </si>
  <si>
    <t>Incremento finalizado. Se implementaron y validaron los controles de acceso y el aislamiento de información entre las distintas clínicas.</t>
  </si>
  <si>
    <t>Incremento finalizado. Se implementó y validó el registro de operaciones relevantes y la integración entre los principales componentes de la solución.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</si>
</sst>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sz val="8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L"/>
              <a:t>Avance por Incremento</a:t>
            </a:r>
          </a:p>
        </c:rich>
      </c:tx>
      <c:layout>
        <c:manualLayout>
          <c:xMode val="edge"/>
          <c:yMode val="edge"/>
          <c:x val="0.39410590277777779"/>
          <c:y val="2.2346368715083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4253472222222221E-2"/>
          <c:y val="9.9602410144515222E-2"/>
          <c:w val="0.83121857638888885"/>
          <c:h val="0.821734596646215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'Estados de Avance'!$F$1</c:f>
              <c:strCache>
                <c:ptCount val="1"/>
                <c:pt idx="0">
                  <c:v>% Avance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'Estados de Avance'!$A$2:$A$10</c:f>
              <c:strCache>
                <c:ptCount val="9"/>
                <c:pt idx="0">
                  <c:v>Incremento 1</c:v>
                </c:pt>
                <c:pt idx="1">
                  <c:v>Incremento 2</c:v>
                </c:pt>
                <c:pt idx="2">
                  <c:v>Incremento 3</c:v>
                </c:pt>
                <c:pt idx="3">
                  <c:v>Incremento 4</c:v>
                </c:pt>
                <c:pt idx="4">
                  <c:v>Incremento 5</c:v>
                </c:pt>
                <c:pt idx="5">
                  <c:v>Incremento 6</c:v>
                </c:pt>
                <c:pt idx="6">
                  <c:v>Incremento 7</c:v>
                </c:pt>
                <c:pt idx="7">
                  <c:v>Incremento 8</c:v>
                </c:pt>
                <c:pt idx="8">
                  <c:v>Incremento 9</c:v>
                </c:pt>
              </c:strCache>
            </c:strRef>
          </c:cat>
          <c:val>
            <c:numRef>
              <c:f>'Estados de Avance'!$F$2:$F$10</c:f>
              <c:numCache>
                <c:formatCode>0%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C-4C04-85FC-94A58C80CF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Incremento</a:t>
                </a:r>
              </a:p>
            </c:rich>
          </c:tx>
          <c:layout>
            <c:manualLayout>
              <c:xMode val="edge"/>
              <c:yMode val="edge"/>
              <c:x val="0.43883749999999999"/>
              <c:y val="0.9329499299313249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Avance (%)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1190625</xdr:colOff>
      <xdr:row>1</xdr:row>
      <xdr:rowOff>171450</xdr:rowOff>
    </xdr:from>
    <xdr:ext cx="5760000" cy="3409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pane ySplit="1" topLeftCell="A2" activePane="bottomLeft" state="frozen"/>
      <selection pane="bottomLeft" activeCell="D14" sqref="D14"/>
    </sheetView>
  </sheetViews>
  <sheetFormatPr baseColWidth="10" defaultColWidth="9.140625" defaultRowHeight="15" x14ac:dyDescent="0.25"/>
  <cols>
    <col min="1" max="1" width="14" customWidth="1"/>
    <col min="2" max="2" width="12" customWidth="1"/>
    <col min="3" max="3" width="45" customWidth="1"/>
    <col min="4" max="4" width="25" customWidth="1"/>
    <col min="5" max="5" width="18" customWidth="1"/>
    <col min="6" max="6" width="13" customWidth="1"/>
    <col min="7" max="7" width="60.140625" customWidth="1"/>
  </cols>
  <sheetData>
    <row r="1" spans="1:7" x14ac:dyDescent="0.25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50.25" customHeight="1" x14ac:dyDescent="0.25">
      <c r="A2" s="2" t="s">
        <v>49</v>
      </c>
      <c r="B2" s="2" t="s">
        <v>6</v>
      </c>
      <c r="C2" s="2" t="s">
        <v>7</v>
      </c>
      <c r="D2" s="2" t="s">
        <v>8</v>
      </c>
      <c r="E2" s="2" t="s">
        <v>9</v>
      </c>
      <c r="F2" s="3">
        <v>1</v>
      </c>
      <c r="G2" s="2" t="s">
        <v>58</v>
      </c>
    </row>
    <row r="3" spans="1:7" ht="30" x14ac:dyDescent="0.25">
      <c r="A3" s="2" t="s">
        <v>50</v>
      </c>
      <c r="B3" s="2" t="s">
        <v>10</v>
      </c>
      <c r="C3" s="2" t="s">
        <v>11</v>
      </c>
      <c r="D3" s="2" t="s">
        <v>12</v>
      </c>
      <c r="E3" s="2" t="s">
        <v>9</v>
      </c>
      <c r="F3" s="3">
        <v>1</v>
      </c>
      <c r="G3" s="2" t="s">
        <v>63</v>
      </c>
    </row>
    <row r="4" spans="1:7" ht="30" x14ac:dyDescent="0.25">
      <c r="A4" s="2" t="s">
        <v>51</v>
      </c>
      <c r="B4" s="2" t="s">
        <v>14</v>
      </c>
      <c r="C4" s="2" t="s">
        <v>15</v>
      </c>
      <c r="D4" s="2" t="s">
        <v>16</v>
      </c>
      <c r="E4" s="2" t="s">
        <v>9</v>
      </c>
      <c r="F4" s="3">
        <v>1</v>
      </c>
      <c r="G4" s="2" t="s">
        <v>64</v>
      </c>
    </row>
    <row r="5" spans="1:7" ht="45" x14ac:dyDescent="0.25">
      <c r="A5" s="2" t="s">
        <v>52</v>
      </c>
      <c r="B5" s="2" t="s">
        <v>18</v>
      </c>
      <c r="C5" s="2" t="s">
        <v>19</v>
      </c>
      <c r="D5" s="2" t="s">
        <v>20</v>
      </c>
      <c r="E5" s="2" t="s">
        <v>9</v>
      </c>
      <c r="F5" s="3">
        <v>1</v>
      </c>
      <c r="G5" s="2" t="s">
        <v>65</v>
      </c>
    </row>
    <row r="6" spans="1:7" ht="30" x14ac:dyDescent="0.25">
      <c r="A6" s="2" t="s">
        <v>53</v>
      </c>
      <c r="B6" s="2" t="s">
        <v>21</v>
      </c>
      <c r="C6" s="2" t="s">
        <v>22</v>
      </c>
      <c r="D6" s="2" t="s">
        <v>23</v>
      </c>
      <c r="E6" s="2" t="s">
        <v>9</v>
      </c>
      <c r="F6" s="3">
        <v>1</v>
      </c>
      <c r="G6" s="2" t="s">
        <v>66</v>
      </c>
    </row>
    <row r="7" spans="1:7" ht="45" x14ac:dyDescent="0.25">
      <c r="A7" s="2" t="s">
        <v>54</v>
      </c>
      <c r="B7" s="2" t="s">
        <v>24</v>
      </c>
      <c r="C7" s="2" t="s">
        <v>25</v>
      </c>
      <c r="D7" s="2" t="s">
        <v>26</v>
      </c>
      <c r="E7" s="2" t="s">
        <v>9</v>
      </c>
      <c r="F7" s="3">
        <v>1</v>
      </c>
      <c r="G7" s="2" t="s">
        <v>67</v>
      </c>
    </row>
    <row r="8" spans="1:7" ht="45" x14ac:dyDescent="0.25">
      <c r="A8" s="2" t="s">
        <v>55</v>
      </c>
      <c r="B8" s="2" t="s">
        <v>27</v>
      </c>
      <c r="C8" s="2" t="s">
        <v>28</v>
      </c>
      <c r="D8" s="2" t="s">
        <v>29</v>
      </c>
      <c r="E8" s="2" t="s">
        <v>9</v>
      </c>
      <c r="F8" s="3">
        <v>1</v>
      </c>
      <c r="G8" s="2" t="s">
        <v>68</v>
      </c>
    </row>
    <row r="9" spans="1:7" ht="45" x14ac:dyDescent="0.25">
      <c r="A9" s="2" t="s">
        <v>56</v>
      </c>
      <c r="B9" s="2" t="s">
        <v>30</v>
      </c>
      <c r="C9" s="2" t="s">
        <v>31</v>
      </c>
      <c r="D9" s="2" t="s">
        <v>32</v>
      </c>
      <c r="E9" s="2" t="s">
        <v>17</v>
      </c>
      <c r="F9" s="3">
        <v>0</v>
      </c>
      <c r="G9" s="2" t="s">
        <v>59</v>
      </c>
    </row>
    <row r="10" spans="1:7" ht="45" x14ac:dyDescent="0.25">
      <c r="A10" s="2" t="s">
        <v>57</v>
      </c>
      <c r="B10" s="2" t="s">
        <v>33</v>
      </c>
      <c r="C10" s="2" t="s">
        <v>34</v>
      </c>
      <c r="D10" s="2" t="s">
        <v>35</v>
      </c>
      <c r="E10" s="2" t="s">
        <v>17</v>
      </c>
      <c r="F10" s="3">
        <v>0</v>
      </c>
      <c r="G10" s="2" t="s">
        <v>60</v>
      </c>
    </row>
  </sheetData>
  <autoFilter ref="A1:G10" xr:uid="{00000000-0009-0000-0000-000000000000}"/>
  <phoneticPr fontId="3" type="noConversion"/>
  <conditionalFormatting sqref="F2:F10">
    <cfRule type="colorScale" priority="1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11" sqref="A11"/>
    </sheetView>
  </sheetViews>
  <sheetFormatPr baseColWidth="10" defaultColWidth="9.140625" defaultRowHeight="15" x14ac:dyDescent="0.25"/>
  <cols>
    <col min="1" max="1" width="32" customWidth="1"/>
    <col min="2" max="2" width="18" customWidth="1"/>
  </cols>
  <sheetData>
    <row r="1" spans="1:4" ht="21" customHeight="1" x14ac:dyDescent="0.35">
      <c r="A1" s="10" t="s">
        <v>36</v>
      </c>
      <c r="B1" s="11"/>
      <c r="C1" s="11"/>
      <c r="D1" s="11"/>
    </row>
    <row r="3" spans="1:4" x14ac:dyDescent="0.25">
      <c r="A3" s="4" t="s">
        <v>37</v>
      </c>
      <c r="B3" s="4" t="s">
        <v>38</v>
      </c>
      <c r="C3" s="9"/>
      <c r="D3" s="9"/>
    </row>
    <row r="4" spans="1:4" x14ac:dyDescent="0.25">
      <c r="A4" s="5" t="s">
        <v>39</v>
      </c>
      <c r="B4" s="6">
        <f>AVERAGE('Estados de Avance'!F2:F10)</f>
        <v>0.77777777777777779</v>
      </c>
    </row>
    <row r="5" spans="1:4" x14ac:dyDescent="0.25">
      <c r="A5" s="5" t="s">
        <v>40</v>
      </c>
      <c r="B5" s="5">
        <f>COUNTIF('Estados de Avance'!E2:E10,"Completado")</f>
        <v>7</v>
      </c>
    </row>
    <row r="6" spans="1:4" x14ac:dyDescent="0.25">
      <c r="A6" s="5" t="s">
        <v>41</v>
      </c>
      <c r="B6" s="5">
        <f>COUNTIF('Estados de Avance'!E2:E10,"En progreso")</f>
        <v>0</v>
      </c>
    </row>
    <row r="7" spans="1:4" x14ac:dyDescent="0.25">
      <c r="A7" s="5" t="s">
        <v>42</v>
      </c>
      <c r="B7" s="5">
        <f>COUNTIF('Estados de Avance'!E2:E10,"Pendiente")</f>
        <v>2</v>
      </c>
    </row>
  </sheetData>
  <mergeCells count="1">
    <mergeCell ref="A1:D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0" sqref="C10"/>
    </sheetView>
  </sheetViews>
  <sheetFormatPr baseColWidth="10" defaultColWidth="9.140625" defaultRowHeight="15" x14ac:dyDescent="0.25"/>
  <cols>
    <col min="1" max="2" width="20" customWidth="1"/>
    <col min="3" max="3" width="65" customWidth="1"/>
  </cols>
  <sheetData>
    <row r="1" spans="1:3" x14ac:dyDescent="0.25">
      <c r="A1" s="1" t="s">
        <v>3</v>
      </c>
      <c r="B1" s="1" t="s">
        <v>43</v>
      </c>
      <c r="C1" s="1" t="s">
        <v>44</v>
      </c>
    </row>
    <row r="2" spans="1:3" x14ac:dyDescent="0.25">
      <c r="A2" s="2" t="s">
        <v>17</v>
      </c>
      <c r="B2" s="8" t="s">
        <v>45</v>
      </c>
      <c r="C2" s="2" t="s">
        <v>46</v>
      </c>
    </row>
    <row r="3" spans="1:3" ht="30" customHeight="1" x14ac:dyDescent="0.25">
      <c r="A3" s="2" t="s">
        <v>13</v>
      </c>
      <c r="B3" s="8" t="s">
        <v>47</v>
      </c>
      <c r="C3" s="2" t="s">
        <v>62</v>
      </c>
    </row>
    <row r="4" spans="1:3" ht="30" x14ac:dyDescent="0.25">
      <c r="A4" s="2" t="s">
        <v>9</v>
      </c>
      <c r="B4" s="7">
        <v>1</v>
      </c>
      <c r="C4" s="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Estados de Avance</vt:lpstr>
      <vt:lpstr>Resumen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pavezherrada@gmail.com</cp:lastModifiedBy>
  <dcterms:created xsi:type="dcterms:W3CDTF">2026-09-02T01:40:24Z</dcterms:created>
  <dcterms:modified xsi:type="dcterms:W3CDTF">2026-10-08T00:06:17Z</dcterms:modified>
</cp:coreProperties>
</file>