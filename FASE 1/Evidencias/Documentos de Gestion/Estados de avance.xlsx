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xmlns:r="http://schemas.openxmlformats.org/officeDocument/2006/relationships" name="Estados de Avance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Criterios" sheetId="3" state="visible" r:id="rId3"/>
  </sheets>
  <definedNames>
    <definedName name="_xlnm._FilterDatabase" localSheetId="0" hidden="1">'Estados de Avance'!$A$1:$G$10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6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/>
    </xf>
    <xf numFmtId="0" fontId="1" fillId="2" borderId="0" pivotButton="0" quotePrefix="0" xfId="0"/>
    <xf numFmtId="0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s-CL"/>
              <a:t>Avance por Sprint</a:t>
            </a:r>
          </a:p>
        </rich>
      </tx>
      <layout>
        <manualLayout>
          <xMode val="edge"/>
          <yMode val="edge"/>
          <wMode val="factor"/>
          <hMode val="factor"/>
          <x val="0.3941059027777778"/>
          <y val="0.0223463687150838"/>
        </manualLayout>
      </layout>
      <overlay val="1"/>
    </title>
    <plotArea>
      <layout>
        <manualLayout>
          <layoutTarget val="inner"/>
          <xMode val="edge"/>
          <yMode val="edge"/>
          <wMode val="factor"/>
          <hMode val="factor"/>
          <x val="0.02425347222222222"/>
          <y val="0.09960241014451522"/>
          <w val="0.8312185763888889"/>
          <h val="0.8217345966462154"/>
        </manualLayout>
      </layout>
      <barChart>
        <barDir val="col"/>
        <grouping val="clustered"/>
        <varyColors val="1"/>
        <ser>
          <idx val="0"/>
          <order val="0"/>
          <tx>
            <strRef>
              <f>'Estados de Avance'!$F$1</f>
              <strCache>
                <ptCount val="1"/>
                <pt idx="0">
                  <v>% Avance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'Estados de Avance'!$A$2:$A$10</f>
              <strCache>
                <ptCount val="9"/>
                <pt idx="0">
                  <v>Sprint 1</v>
                </pt>
                <pt idx="1">
                  <v>Sprint 2</v>
                </pt>
                <pt idx="2">
                  <v>Sprint 3</v>
                </pt>
                <pt idx="3">
                  <v>Sprint 4</v>
                </pt>
                <pt idx="4">
                  <v>Sprint 5</v>
                </pt>
                <pt idx="5">
                  <v>Sprint 6</v>
                </pt>
                <pt idx="6">
                  <v>Sprint 7</v>
                </pt>
                <pt idx="7">
                  <v>Sprint 8</v>
                </pt>
                <pt idx="8">
                  <v>Sprint 9</v>
                </pt>
              </strCache>
            </strRef>
          </cat>
          <val>
            <numRef>
              <f>'Estados de Avance'!$F$2:$F$10</f>
              <numCache>
                <formatCode>0%</formatCode>
                <ptCount val="9"/>
                <pt idx="0">
                  <v>1</v>
                </pt>
                <pt idx="1">
                  <v>0.4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s-CL"/>
                  <a:t>Sprint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388375"/>
              <y val="0.932949929931325"/>
            </manualLayout>
          </layout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s-CL"/>
                  <a:t>Avance (%)</a:t>
                </a:r>
              </a:p>
            </rich>
          </tx>
          <overlay val="1"/>
        </title>
        <numFmt formatCode="0%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9525</rowOff>
    </from>
    <ext cx="5760000" cy="34099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"/>
  <sheetViews>
    <sheetView tabSelected="1" workbookViewId="0">
      <pane ySplit="1" topLeftCell="A2" activePane="bottomLeft" state="frozen"/>
      <selection pane="bottomLeft" activeCell="G15" sqref="G15"/>
    </sheetView>
  </sheetViews>
  <sheetFormatPr baseColWidth="10" defaultColWidth="9.140625" defaultRowHeight="15"/>
  <cols>
    <col width="14" customWidth="1" style="11" min="1" max="1"/>
    <col width="12" customWidth="1" style="11" min="2" max="2"/>
    <col width="45" customWidth="1" style="11" min="3" max="3"/>
    <col width="25" customWidth="1" style="11" min="4" max="4"/>
    <col width="18" customWidth="1" style="11" min="5" max="5"/>
    <col width="13" customWidth="1" style="11" min="6" max="6"/>
    <col width="55" customWidth="1" style="11" min="7" max="7"/>
  </cols>
  <sheetData>
    <row r="1">
      <c r="A1" s="1" t="inlineStr">
        <is>
          <t>Sprint</t>
        </is>
      </c>
      <c r="B1" s="1" t="inlineStr">
        <is>
          <t>Semanas</t>
        </is>
      </c>
      <c r="C1" s="1" t="inlineStr">
        <is>
          <t>Objetivo principal</t>
        </is>
      </c>
      <c r="D1" s="1" t="inlineStr">
        <is>
          <t>Historias de Usuario</t>
        </is>
      </c>
      <c r="E1" s="1" t="inlineStr">
        <is>
          <t>Estado</t>
        </is>
      </c>
      <c r="F1" s="1" t="inlineStr">
        <is>
          <t>% Avance</t>
        </is>
      </c>
      <c r="G1" s="1" t="inlineStr">
        <is>
          <t>Observaciones</t>
        </is>
      </c>
    </row>
    <row r="2" ht="30" customHeight="1" s="11">
      <c r="A2" s="2" t="inlineStr">
        <is>
          <t>Sprint 1</t>
        </is>
      </c>
      <c r="B2" s="2" t="inlineStr">
        <is>
          <t>1-2</t>
        </is>
      </c>
      <c r="C2" s="2" t="inlineStr">
        <is>
          <t>Configuración base, arquitectura y estructura inicial</t>
        </is>
      </c>
      <c r="D2" s="2" t="inlineStr">
        <is>
          <t>Preparación del proyecto</t>
        </is>
      </c>
      <c r="E2" s="2" t="inlineStr">
        <is>
          <t>Completado</t>
        </is>
      </c>
      <c r="F2" s="3" t="n">
        <v>1</v>
      </c>
      <c r="G2" s="2" t="inlineStr">
        <is>
          <t>Sprint finalizado, dejando preparada la estructura base del proyecto para continuar con el desarrollo.</t>
        </is>
      </c>
    </row>
    <row r="3">
      <c r="A3" s="2" t="inlineStr">
        <is>
          <t>Sprint 2</t>
        </is>
      </c>
      <c r="B3" s="2" t="inlineStr">
        <is>
          <t>3-4</t>
        </is>
      </c>
      <c r="C3" s="2" t="inlineStr">
        <is>
          <t>Carga y validación de exámenes</t>
        </is>
      </c>
      <c r="D3" s="2" t="inlineStr">
        <is>
          <t>HU01, HU02</t>
        </is>
      </c>
      <c r="E3" s="2" t="inlineStr">
        <is>
          <t>En progreso</t>
        </is>
      </c>
      <c r="F3" s="3" t="n">
        <v>0.5</v>
      </c>
      <c r="G3" s="2" t="inlineStr">
        <is>
          <t>Actualmente estamos trabajando en la carga y validación de los exámenes médicos, avanzando en la implementación de estas funcionalidades.</t>
        </is>
      </c>
    </row>
    <row r="4">
      <c r="A4" s="2" t="inlineStr">
        <is>
          <t>Sprint 3</t>
        </is>
      </c>
      <c r="B4" s="2" t="inlineStr">
        <is>
          <t>5-6</t>
        </is>
      </c>
      <c r="C4" s="2" t="inlineStr">
        <is>
          <t>Asociación de exámenes con pacientes</t>
        </is>
      </c>
      <c r="D4" s="2" t="inlineStr">
        <is>
          <t>HU08</t>
        </is>
      </c>
      <c r="E4" s="2" t="inlineStr">
        <is>
          <t>Pendiente</t>
        </is>
      </c>
      <c r="F4" s="3" t="n">
        <v>0</v>
      </c>
      <c r="G4" s="2" t="inlineStr">
        <is>
          <t>Pendiente de iniciar. Este sprint se realizará una vez finalizado el trabajo de asociación de los exámenes con los pacientes.</t>
        </is>
      </c>
    </row>
    <row r="5">
      <c r="A5" s="2" t="inlineStr">
        <is>
          <t>Sprint 4</t>
        </is>
      </c>
      <c r="B5" s="2" t="inlineStr">
        <is>
          <t>7-8</t>
        </is>
      </c>
      <c r="C5" s="2" t="inlineStr">
        <is>
          <t>Consulta de exámenes</t>
        </is>
      </c>
      <c r="D5" s="2" t="inlineStr">
        <is>
          <t>HU03</t>
        </is>
      </c>
      <c r="E5" s="2" t="inlineStr">
        <is>
          <t>Pendiente</t>
        </is>
      </c>
      <c r="F5" s="3" t="n">
        <v>0</v>
      </c>
      <c r="G5" s="2" t="inlineStr">
        <is>
          <t>Pendiente de iniciar. Se abordará posteriormente la consulta y visualización de los exámenes registrados.</t>
        </is>
      </c>
    </row>
    <row r="6">
      <c r="A6" s="2" t="inlineStr">
        <is>
          <t>Sprint 5</t>
        </is>
      </c>
      <c r="B6" s="2" t="inlineStr">
        <is>
          <t>9-10</t>
        </is>
      </c>
      <c r="C6" s="2" t="inlineStr">
        <is>
          <t>Descarga de exámenes autorizados</t>
        </is>
      </c>
      <c r="D6" s="2" t="inlineStr">
        <is>
          <t>HU04</t>
        </is>
      </c>
      <c r="E6" s="2" t="inlineStr">
        <is>
          <t>Pendiente</t>
        </is>
      </c>
      <c r="F6" s="3" t="n">
        <v>0</v>
      </c>
      <c r="G6" s="2" t="inlineStr">
        <is>
          <t>Pendiente de iniciar. La descarga de exámenes se desarrollará en un sprint posterior, considerando los permisos de acceso correspondientes.</t>
        </is>
      </c>
    </row>
    <row r="7">
      <c r="A7" s="2" t="inlineStr">
        <is>
          <t>Sprint 6</t>
        </is>
      </c>
      <c r="B7" s="2" t="inlineStr">
        <is>
          <t>11-12</t>
        </is>
      </c>
      <c r="C7" s="2" t="inlineStr">
        <is>
          <t>Borrado lógico</t>
        </is>
      </c>
      <c r="D7" s="2" t="inlineStr">
        <is>
          <t>HU05</t>
        </is>
      </c>
      <c r="E7" s="2" t="inlineStr">
        <is>
          <t>Pendiente</t>
        </is>
      </c>
      <c r="F7" s="3" t="n">
        <v>0</v>
      </c>
      <c r="G7" s="2" t="inlineStr">
        <is>
          <t>Pendiente de iniciar. Esta funcionalidad será abordada posteriormente para permitir el borrado lógico de los registros.</t>
        </is>
      </c>
    </row>
    <row r="8">
      <c r="A8" s="2" t="inlineStr">
        <is>
          <t>Sprint 7</t>
        </is>
      </c>
      <c r="B8" s="2" t="inlineStr">
        <is>
          <t>13-14</t>
        </is>
      </c>
      <c r="C8" s="2" t="inlineStr">
        <is>
          <t>Seguridad y multitenancy</t>
        </is>
      </c>
      <c r="D8" s="2" t="inlineStr">
        <is>
          <t>HU06</t>
        </is>
      </c>
      <c r="E8" s="2" t="inlineStr">
        <is>
          <t>Pendiente</t>
        </is>
      </c>
      <c r="F8" s="3" t="n">
        <v>0</v>
      </c>
      <c r="G8" s="2" t="inlineStr">
        <is>
          <t>Pendiente de iniciar. En este sprint se trabajará en los controles de acceso y aislamiento de la información entre clínicas.</t>
        </is>
      </c>
    </row>
    <row r="9">
      <c r="A9" s="2" t="inlineStr">
        <is>
          <t>Sprint 8</t>
        </is>
      </c>
      <c r="B9" s="2" t="inlineStr">
        <is>
          <t>15-16</t>
        </is>
      </c>
      <c r="C9" s="2" t="inlineStr">
        <is>
          <t>Auditoría e integración</t>
        </is>
      </c>
      <c r="D9" s="2" t="inlineStr">
        <is>
          <t>HU07</t>
        </is>
      </c>
      <c r="E9" s="2" t="inlineStr">
        <is>
          <t>Pendiente</t>
        </is>
      </c>
      <c r="F9" s="3" t="n">
        <v>0</v>
      </c>
      <c r="G9" s="2" t="inlineStr">
        <is>
          <t>Pendiente de iniciar. Se implementará posteriormente el registro de las operaciones relevantes para mantener la trazabilidad.</t>
        </is>
      </c>
    </row>
    <row r="10">
      <c r="A10" s="2" t="inlineStr">
        <is>
          <t>Sprint 9</t>
        </is>
      </c>
      <c r="B10" s="2" t="inlineStr">
        <is>
          <t>17-18</t>
        </is>
      </c>
      <c r="C10" s="2" t="inlineStr">
        <is>
          <t>Pruebas finales, correcciones y cierre</t>
        </is>
      </c>
      <c r="D10" s="2" t="inlineStr">
        <is>
          <t>HU09</t>
        </is>
      </c>
      <c r="E10" s="2" t="inlineStr">
        <is>
          <t>Pendiente</t>
        </is>
      </c>
      <c r="F10" s="3" t="n">
        <v>0</v>
      </c>
      <c r="G10" s="2" t="inlineStr">
        <is>
          <t>Pendiente de iniciar. Este sprint quedará destinado a las pruebas finales, correcciones y cierre del proyecto.</t>
        </is>
      </c>
    </row>
  </sheetData>
  <autoFilter ref="A1:G10"/>
  <conditionalFormatting sqref="F2:F10">
    <cfRule type="colorScale" priority="1">
      <colorScale>
        <cfvo type="num" val="0"/>
        <cfvo type="num" val="0.5"/>
        <cfvo type="num" val="1"/>
        <color rgb="FFF4CCCC"/>
        <color rgb="FFFFF2CC"/>
        <color rgb="FFD9EAD3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2" sqref="A12"/>
    </sheetView>
  </sheetViews>
  <sheetFormatPr baseColWidth="10" defaultColWidth="9.140625" defaultRowHeight="15"/>
  <cols>
    <col width="32" customWidth="1" style="11" min="1" max="1"/>
    <col width="18" customWidth="1" style="11" min="2" max="2"/>
  </cols>
  <sheetData>
    <row r="1" ht="21" customHeight="1" s="11">
      <c r="A1" s="10" t="inlineStr">
        <is>
          <t>ESTADOS DE AVANCE - PROYECTO WELLQ</t>
        </is>
      </c>
    </row>
    <row r="3">
      <c r="A3" s="4" t="inlineStr">
        <is>
          <t>Indicador</t>
        </is>
      </c>
      <c r="B3" s="4" t="inlineStr">
        <is>
          <t>Valor</t>
        </is>
      </c>
      <c r="C3" s="5" t="n"/>
      <c r="D3" s="5" t="n"/>
    </row>
    <row r="4">
      <c r="A4" s="6" t="inlineStr">
        <is>
          <t>Avance general planificado</t>
        </is>
      </c>
      <c r="B4" s="7">
        <f>AVERAGE('Estados de Avance'!F2:F10)</f>
        <v/>
      </c>
    </row>
    <row r="5">
      <c r="A5" s="6" t="inlineStr">
        <is>
          <t>Sprints completados</t>
        </is>
      </c>
      <c r="B5" s="6">
        <f>COUNTIF('Estados de Avance'!E2:E10,"Completado")</f>
        <v/>
      </c>
    </row>
    <row r="6">
      <c r="A6" s="6" t="inlineStr">
        <is>
          <t>Sprints en progreso</t>
        </is>
      </c>
      <c r="B6" s="6">
        <f>COUNTIF('Estados de Avance'!E2:E10,"En progreso")</f>
        <v/>
      </c>
    </row>
    <row r="7">
      <c r="A7" s="6" t="inlineStr">
        <is>
          <t>Sprints pendientes</t>
        </is>
      </c>
      <c r="B7" s="6">
        <f>COUNTIF('Estados de Avance'!E2:E10,"Pendiente")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C8" sqref="C8"/>
    </sheetView>
  </sheetViews>
  <sheetFormatPr baseColWidth="10" defaultColWidth="9.140625" defaultRowHeight="15"/>
  <cols>
    <col width="20" customWidth="1" style="11" min="1" max="2"/>
    <col width="65" customWidth="1" style="11" min="3" max="3"/>
  </cols>
  <sheetData>
    <row r="1">
      <c r="A1" s="1" t="inlineStr">
        <is>
          <t>Estado</t>
        </is>
      </c>
      <c r="B1" s="1" t="inlineStr">
        <is>
          <t>Rango de avance</t>
        </is>
      </c>
      <c r="C1" s="1" t="inlineStr">
        <is>
          <t>Descripción</t>
        </is>
      </c>
    </row>
    <row r="2">
      <c r="A2" s="2" t="inlineStr">
        <is>
          <t>Pendiente</t>
        </is>
      </c>
      <c r="B2" s="9" t="inlineStr">
        <is>
          <t>0% - 49%</t>
        </is>
      </c>
      <c r="C2" s="2" t="inlineStr">
        <is>
          <t>Trabajo todavía no iniciado o con avance inicial.</t>
        </is>
      </c>
    </row>
    <row r="3" ht="30" customHeight="1" s="11">
      <c r="A3" s="2" t="inlineStr">
        <is>
          <t>En progreso</t>
        </is>
      </c>
      <c r="B3" s="9" t="inlineStr">
        <is>
          <t>50% - 99%</t>
        </is>
      </c>
      <c r="C3" s="2" t="inlineStr">
        <is>
          <t>Trabajo en desarrollo, con funcionalidades parcialmente implementadas.</t>
        </is>
      </c>
    </row>
    <row r="4">
      <c r="A4" s="2" t="inlineStr">
        <is>
          <t>Completado</t>
        </is>
      </c>
      <c r="B4" s="8" t="n">
        <v>1</v>
      </c>
      <c r="C4" s="2" t="inlineStr">
        <is>
          <t>Trabajo terminado y validado según el alcance del sprint.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2026-09-02T01:40:24Z</dcterms:created>
  <dcterms:modified xmlns:dcterms="http://purl.org/dc/terms/" xmlns:xsi="http://www.w3.org/2001/XMLSchema-instance" xsi:type="dcterms:W3CDTF">2026-09-02T18:05:55Z</dcterms:modified>
  <cp:lastModifiedBy>pavezherrada@gmail.com</cp:lastModifiedBy>
</cp:coreProperties>
</file>